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96f77e54b877ef/Data Analytics/"/>
    </mc:Choice>
  </mc:AlternateContent>
  <xr:revisionPtr revIDLastSave="152" documentId="8_{CC4547FE-17B9-4447-AAC3-C4423E3BBF9A}" xr6:coauthVersionLast="47" xr6:coauthVersionMax="47" xr10:uidLastSave="{A4ED93A4-6C04-4E72-AF87-4F4ADB8EE531}"/>
  <bookViews>
    <workbookView xWindow="-110" yWindow="-110" windowWidth="19420" windowHeight="10300" xr2:uid="{A59290A1-6974-4F63-AD7C-E6D4EFFA81B5}"/>
  </bookViews>
  <sheets>
    <sheet name="Sheet1" sheetId="1" r:id="rId1"/>
    <sheet name="Day Country &amp; Month" sheetId="4" r:id="rId2"/>
  </sheets>
  <definedNames>
    <definedName name="_xlnm._FilterDatabase" localSheetId="0" hidden="1">Sheet1!$A$1:$F$35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2" i="4"/>
  <c r="I3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" i="4"/>
  <c r="J10" i="1"/>
  <c r="J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J7" i="1"/>
  <c r="J6" i="1"/>
  <c r="J3" i="1"/>
  <c r="J2" i="1"/>
  <c r="J4" i="1" s="1"/>
</calcChain>
</file>

<file path=xl/sharedStrings.xml><?xml version="1.0" encoding="utf-8"?>
<sst xmlns="http://schemas.openxmlformats.org/spreadsheetml/2006/main" count="295" uniqueCount="104">
  <si>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</si>
  <si>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</si>
  <si>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</si>
  <si>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</si>
  <si>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</si>
  <si>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</si>
  <si>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</si>
  <si>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</si>
  <si>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</si>
  <si>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</si>
  <si>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</si>
  <si>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</si>
  <si>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</si>
  <si>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</si>
  <si>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</si>
  <si>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</si>
  <si>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</si>
  <si>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</si>
  <si>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</si>
  <si>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</si>
  <si>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</si>
  <si>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</si>
  <si>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</si>
  <si>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</si>
  <si>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</si>
  <si>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</si>
  <si>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</si>
  <si>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</si>
  <si>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</si>
  <si>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</si>
  <si>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</si>
  <si>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</si>
  <si>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</si>
  <si>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</si>
  <si>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</si>
  <si>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</si>
  <si>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</si>
  <si>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</si>
  <si>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</si>
  <si>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</si>
  <si>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</si>
  <si>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</si>
  <si>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</si>
  <si>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</si>
  <si>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</si>
  <si>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</si>
  <si>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</si>
  <si>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</si>
  <si>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</si>
  <si>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</si>
  <si>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</si>
  <si>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</si>
  <si>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</si>
  <si>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</si>
  <si>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</si>
  <si>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</si>
  <si>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</si>
  <si>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</si>
  <si>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</si>
  <si>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</si>
  <si>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</si>
  <si>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</si>
  <si>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</si>
  <si>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</si>
  <si>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</si>
  <si>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</si>
  <si>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</si>
  <si>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</si>
  <si>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</si>
  <si>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</si>
  <si>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</si>
  <si>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</si>
  <si>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</si>
  <si>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</si>
  <si>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</si>
  <si>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</si>
  <si>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</si>
  <si>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</si>
  <si>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</si>
  <si>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</si>
  <si>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</si>
  <si>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</si>
  <si>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</si>
  <si>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</si>
  <si>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</si>
  <si>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</si>
  <si>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</si>
  <si>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</si>
  <si>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</si>
  <si>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</si>
  <si>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</si>
  <si>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</si>
  <si>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</si>
  <si>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</si>
  <si>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Total Products</t>
  </si>
  <si>
    <t>Average price of the Product</t>
  </si>
  <si>
    <t>Minimum price of the products</t>
  </si>
  <si>
    <t>Maximum price of the products</t>
  </si>
  <si>
    <t>Price Range</t>
  </si>
  <si>
    <t>Sumif Electronics</t>
  </si>
  <si>
    <t>Countif Electronics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</si>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</sst>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F2F0-EB13-410F-9415-E9B86CE7A853}">
  <dimension ref="A1:J35"/>
  <sheetViews>
    <sheetView tabSelected="1" workbookViewId="0">
      <selection activeCell="E8" sqref="E8"/>
    </sheetView>
  </sheetViews>
  <sheetFormatPr defaultRowHeight="14.5" x14ac:dyDescent="0.35"/>
  <cols>
    <col min="1" max="1" width="10.6328125" customWidth="1"/>
    <col min="2" max="2" width="23.36328125" customWidth="1"/>
    <col min="3" max="3" width="11.6328125" customWidth="1"/>
    <col min="4" max="4" width="8" bestFit="1" customWidth="1"/>
    <col min="5" max="5" width="8.1796875" bestFit="1" customWidth="1"/>
    <col min="6" max="7" width="11.26953125" customWidth="1"/>
    <col min="9" max="9" width="25.54296875" bestFit="1" customWidth="1"/>
    <col min="10" max="10" width="11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98</v>
      </c>
    </row>
    <row r="2" spans="1:10" x14ac:dyDescent="0.35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G2" s="2" t="str">
        <f>IF(D2&gt;=500,"High Price","standard Price")</f>
        <v>High Price</v>
      </c>
      <c r="H2">
        <v>1</v>
      </c>
      <c r="I2" t="s">
        <v>93</v>
      </c>
      <c r="J2">
        <f>SUM(D2:D35)</f>
        <v>10100</v>
      </c>
    </row>
    <row r="3" spans="1:10" x14ac:dyDescent="0.35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G3" s="2" t="str">
        <f t="shared" ref="G3:G35" si="0">IF(D3&gt;=500,"High Price","standard Price")</f>
        <v>standard Price</v>
      </c>
      <c r="I3" t="s">
        <v>94</v>
      </c>
      <c r="J3">
        <f>COUNT(E2:E35)</f>
        <v>34</v>
      </c>
    </row>
    <row r="4" spans="1:10" x14ac:dyDescent="0.35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G4" s="2" t="str">
        <f t="shared" si="0"/>
        <v>standard Price</v>
      </c>
      <c r="I4" t="s">
        <v>95</v>
      </c>
      <c r="J4">
        <f>J2/J3</f>
        <v>297.05882352941177</v>
      </c>
    </row>
    <row r="5" spans="1:10" x14ac:dyDescent="0.35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G5" s="2" t="str">
        <f t="shared" si="0"/>
        <v>High Price</v>
      </c>
    </row>
    <row r="6" spans="1:10" x14ac:dyDescent="0.35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G6" s="2" t="str">
        <f t="shared" si="0"/>
        <v>standard Price</v>
      </c>
      <c r="H6">
        <v>2</v>
      </c>
      <c r="I6" t="s">
        <v>96</v>
      </c>
      <c r="J6">
        <f>MIN(D2:D35)</f>
        <v>30</v>
      </c>
    </row>
    <row r="7" spans="1:10" x14ac:dyDescent="0.35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G7" s="2" t="str">
        <f t="shared" si="0"/>
        <v>standard Price</v>
      </c>
      <c r="I7" t="s">
        <v>97</v>
      </c>
      <c r="J7">
        <f>MAX(D2:D35)</f>
        <v>1000</v>
      </c>
    </row>
    <row r="8" spans="1:10" x14ac:dyDescent="0.35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G8" s="2" t="str">
        <f t="shared" si="0"/>
        <v>standard Price</v>
      </c>
    </row>
    <row r="9" spans="1:10" x14ac:dyDescent="0.35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G9" s="2" t="str">
        <f t="shared" si="0"/>
        <v>standard Price</v>
      </c>
      <c r="H9">
        <v>4</v>
      </c>
      <c r="I9" t="s">
        <v>99</v>
      </c>
      <c r="J9">
        <f>SUMIF(F2:F35,"Electronics",(D2:D35))</f>
        <v>8050</v>
      </c>
    </row>
    <row r="10" spans="1:10" x14ac:dyDescent="0.35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G10" s="2" t="str">
        <f t="shared" si="0"/>
        <v>High Price</v>
      </c>
      <c r="I10" t="s">
        <v>100</v>
      </c>
      <c r="J10">
        <f>COUNTIF(D2:D35,"&lt;100")</f>
        <v>11</v>
      </c>
    </row>
    <row r="11" spans="1:10" x14ac:dyDescent="0.35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G11" s="2" t="str">
        <f t="shared" si="0"/>
        <v>standard Price</v>
      </c>
    </row>
    <row r="12" spans="1:10" x14ac:dyDescent="0.35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G12" s="2" t="str">
        <f t="shared" si="0"/>
        <v>High Price</v>
      </c>
    </row>
    <row r="13" spans="1:10" x14ac:dyDescent="0.35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G13" s="2" t="str">
        <f t="shared" si="0"/>
        <v>standard Price</v>
      </c>
    </row>
    <row r="14" spans="1:10" x14ac:dyDescent="0.35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G14" s="2" t="str">
        <f t="shared" si="0"/>
        <v>standard Price</v>
      </c>
    </row>
    <row r="15" spans="1:10" x14ac:dyDescent="0.35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G15" s="2" t="str">
        <f t="shared" si="0"/>
        <v>standard Price</v>
      </c>
    </row>
    <row r="16" spans="1:10" x14ac:dyDescent="0.35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G16" s="2" t="str">
        <f t="shared" si="0"/>
        <v>standard Price</v>
      </c>
    </row>
    <row r="17" spans="1:7" x14ac:dyDescent="0.35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G17" s="2" t="str">
        <f t="shared" si="0"/>
        <v>standard Price</v>
      </c>
    </row>
    <row r="18" spans="1:7" x14ac:dyDescent="0.35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G18" s="2" t="str">
        <f t="shared" si="0"/>
        <v>standard Price</v>
      </c>
    </row>
    <row r="19" spans="1:7" x14ac:dyDescent="0.35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G19" s="2" t="str">
        <f t="shared" si="0"/>
        <v>High Price</v>
      </c>
    </row>
    <row r="20" spans="1:7" x14ac:dyDescent="0.35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G20" s="2" t="str">
        <f t="shared" si="0"/>
        <v>standard Price</v>
      </c>
    </row>
    <row r="21" spans="1:7" x14ac:dyDescent="0.35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G21" s="2" t="str">
        <f t="shared" si="0"/>
        <v>standard Price</v>
      </c>
    </row>
    <row r="22" spans="1:7" x14ac:dyDescent="0.35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G22" s="2" t="str">
        <f t="shared" si="0"/>
        <v>High Price</v>
      </c>
    </row>
    <row r="23" spans="1:7" x14ac:dyDescent="0.35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G23" s="2" t="str">
        <f t="shared" si="0"/>
        <v>standard Price</v>
      </c>
    </row>
    <row r="24" spans="1:7" x14ac:dyDescent="0.35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G24" s="2" t="str">
        <f t="shared" si="0"/>
        <v>standard Price</v>
      </c>
    </row>
    <row r="25" spans="1:7" x14ac:dyDescent="0.35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G25" s="2" t="str">
        <f t="shared" si="0"/>
        <v>standard Price</v>
      </c>
    </row>
    <row r="26" spans="1:7" x14ac:dyDescent="0.35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G26" s="2" t="str">
        <f t="shared" si="0"/>
        <v>High Price</v>
      </c>
    </row>
    <row r="27" spans="1:7" x14ac:dyDescent="0.35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G27" s="2" t="str">
        <f t="shared" si="0"/>
        <v>standard Price</v>
      </c>
    </row>
    <row r="28" spans="1:7" x14ac:dyDescent="0.35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G28" s="2" t="str">
        <f t="shared" si="0"/>
        <v>standard Price</v>
      </c>
    </row>
    <row r="29" spans="1:7" x14ac:dyDescent="0.35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G29" s="2" t="str">
        <f t="shared" si="0"/>
        <v>standard Price</v>
      </c>
    </row>
    <row r="30" spans="1:7" x14ac:dyDescent="0.35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G30" s="2" t="str">
        <f t="shared" si="0"/>
        <v>standard Price</v>
      </c>
    </row>
    <row r="31" spans="1:7" x14ac:dyDescent="0.35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G31" s="2" t="str">
        <f t="shared" si="0"/>
        <v>standard Price</v>
      </c>
    </row>
    <row r="32" spans="1:7" x14ac:dyDescent="0.35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G32" s="2" t="str">
        <f t="shared" si="0"/>
        <v>standard Price</v>
      </c>
    </row>
    <row r="33" spans="1:7" x14ac:dyDescent="0.35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G33" s="2" t="str">
        <f t="shared" si="0"/>
        <v>standard Price</v>
      </c>
    </row>
    <row r="34" spans="1:7" x14ac:dyDescent="0.35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G34" s="2" t="str">
        <f t="shared" si="0"/>
        <v>High Price</v>
      </c>
    </row>
    <row r="35" spans="1:7" x14ac:dyDescent="0.35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  <c r="G35" s="2" t="str">
        <f t="shared" si="0"/>
        <v>standard Price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207B-9C84-4978-BA00-7994D45DA0DF}">
  <dimension ref="A1:I35"/>
  <sheetViews>
    <sheetView workbookViewId="0">
      <selection activeCell="I2" sqref="I2"/>
    </sheetView>
  </sheetViews>
  <sheetFormatPr defaultRowHeight="14.5" x14ac:dyDescent="0.35"/>
  <cols>
    <col min="1" max="1" width="14.26953125" customWidth="1"/>
    <col min="2" max="2" width="16.7265625" customWidth="1"/>
    <col min="6" max="6" width="11.81640625" customWidth="1"/>
    <col min="8" max="8" width="7.7265625" bestFit="1" customWidth="1"/>
  </cols>
  <sheetData>
    <row r="1" spans="1:9" ht="2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101</v>
      </c>
      <c r="H1" s="1" t="s">
        <v>102</v>
      </c>
      <c r="I1" s="1" t="s">
        <v>103</v>
      </c>
    </row>
    <row r="2" spans="1:9" ht="26" x14ac:dyDescent="0.35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G2" s="6" t="str">
        <f>LEFT(A2,2)</f>
        <v>28</v>
      </c>
      <c r="H2" s="6" t="str">
        <f>RIGHT(A2,2)</f>
        <v>US</v>
      </c>
      <c r="I2" s="6" t="str">
        <f>MID(A2,4,6)</f>
        <v>JAN-US</v>
      </c>
    </row>
    <row r="3" spans="1:9" ht="26" x14ac:dyDescent="0.35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G3" s="6" t="str">
        <f t="shared" ref="G3:G35" si="0">LEFT(A3,2)</f>
        <v>15</v>
      </c>
      <c r="H3" s="6" t="str">
        <f t="shared" ref="H3:H35" si="1">RIGHT(A3,2)</f>
        <v>US</v>
      </c>
      <c r="I3" s="6" t="str">
        <f>MID(A3,4,6)</f>
        <v>FEB-US</v>
      </c>
    </row>
    <row r="4" spans="1:9" ht="26" x14ac:dyDescent="0.35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G4" s="6" t="str">
        <f t="shared" si="0"/>
        <v>03</v>
      </c>
      <c r="H4" s="6" t="str">
        <f t="shared" si="1"/>
        <v>US</v>
      </c>
      <c r="I4" s="6" t="str">
        <f t="shared" ref="I4:I35" si="2">MID(A4,4,6)</f>
        <v>MAR-US</v>
      </c>
    </row>
    <row r="5" spans="1:9" ht="26" x14ac:dyDescent="0.35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G5" s="6" t="str">
        <f t="shared" si="0"/>
        <v>11</v>
      </c>
      <c r="H5" s="6" t="str">
        <f t="shared" si="1"/>
        <v>US</v>
      </c>
      <c r="I5" s="6" t="str">
        <f t="shared" si="2"/>
        <v>APR-US</v>
      </c>
    </row>
    <row r="6" spans="1:9" ht="26" x14ac:dyDescent="0.35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G6" s="6" t="str">
        <f t="shared" si="0"/>
        <v>22</v>
      </c>
      <c r="H6" s="6" t="str">
        <f t="shared" si="1"/>
        <v>US</v>
      </c>
      <c r="I6" s="6" t="str">
        <f t="shared" si="2"/>
        <v>MAY-US</v>
      </c>
    </row>
    <row r="7" spans="1:9" ht="26" x14ac:dyDescent="0.35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G7" s="6" t="str">
        <f t="shared" si="0"/>
        <v>07</v>
      </c>
      <c r="H7" s="6" t="str">
        <f t="shared" si="1"/>
        <v>UK</v>
      </c>
      <c r="I7" s="6" t="str">
        <f t="shared" si="2"/>
        <v>JUN-UK</v>
      </c>
    </row>
    <row r="8" spans="1:9" ht="26" x14ac:dyDescent="0.35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G8" s="6" t="str">
        <f t="shared" si="0"/>
        <v>19</v>
      </c>
      <c r="H8" s="6" t="str">
        <f t="shared" si="1"/>
        <v>UK</v>
      </c>
      <c r="I8" s="6" t="str">
        <f t="shared" si="2"/>
        <v>JUL-UK</v>
      </c>
    </row>
    <row r="9" spans="1:9" ht="26" x14ac:dyDescent="0.35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G9" s="6" t="str">
        <f t="shared" si="0"/>
        <v>23</v>
      </c>
      <c r="H9" s="6" t="str">
        <f t="shared" si="1"/>
        <v>UK</v>
      </c>
      <c r="I9" s="6" t="str">
        <f t="shared" si="2"/>
        <v>AUG-UK</v>
      </c>
    </row>
    <row r="10" spans="1:9" ht="26" x14ac:dyDescent="0.35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G10" s="6" t="str">
        <f t="shared" si="0"/>
        <v>05</v>
      </c>
      <c r="H10" s="6" t="str">
        <f t="shared" si="1"/>
        <v>UK</v>
      </c>
      <c r="I10" s="6" t="str">
        <f t="shared" si="2"/>
        <v>SEP-UK</v>
      </c>
    </row>
    <row r="11" spans="1:9" ht="26" x14ac:dyDescent="0.35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G11" s="6" t="str">
        <f t="shared" si="0"/>
        <v>14</v>
      </c>
      <c r="H11" s="6" t="str">
        <f t="shared" si="1"/>
        <v>UK</v>
      </c>
      <c r="I11" s="6" t="str">
        <f t="shared" si="2"/>
        <v>OCT-UK</v>
      </c>
    </row>
    <row r="12" spans="1:9" ht="26" x14ac:dyDescent="0.35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G12" s="6" t="str">
        <f t="shared" si="0"/>
        <v>17</v>
      </c>
      <c r="H12" s="6" t="str">
        <f t="shared" si="1"/>
        <v>IN</v>
      </c>
      <c r="I12" s="6" t="str">
        <f t="shared" si="2"/>
        <v>JUN-IN</v>
      </c>
    </row>
    <row r="13" spans="1:9" ht="26" x14ac:dyDescent="0.35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G13" s="6" t="str">
        <f t="shared" si="0"/>
        <v>25</v>
      </c>
      <c r="H13" s="6" t="str">
        <f t="shared" si="1"/>
        <v>AU</v>
      </c>
      <c r="I13" s="6" t="str">
        <f t="shared" si="2"/>
        <v>NOV-AU</v>
      </c>
    </row>
    <row r="14" spans="1:9" ht="26" x14ac:dyDescent="0.35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G14" s="6" t="str">
        <f t="shared" si="0"/>
        <v>08</v>
      </c>
      <c r="H14" s="6" t="str">
        <f t="shared" si="1"/>
        <v>DE</v>
      </c>
      <c r="I14" s="6" t="str">
        <f t="shared" si="2"/>
        <v>DEC-DE</v>
      </c>
    </row>
    <row r="15" spans="1:9" ht="26" x14ac:dyDescent="0.35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G15" s="6" t="str">
        <f t="shared" si="0"/>
        <v>18</v>
      </c>
      <c r="H15" s="6" t="str">
        <f t="shared" si="1"/>
        <v>CA</v>
      </c>
      <c r="I15" s="6" t="str">
        <f t="shared" si="2"/>
        <v>FEB-CA</v>
      </c>
    </row>
    <row r="16" spans="1:9" ht="26" x14ac:dyDescent="0.35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G16" s="6" t="str">
        <f t="shared" si="0"/>
        <v>16</v>
      </c>
      <c r="H16" s="6" t="str">
        <f t="shared" si="1"/>
        <v>ES</v>
      </c>
      <c r="I16" s="6" t="str">
        <f t="shared" si="2"/>
        <v>APR-ES</v>
      </c>
    </row>
    <row r="17" spans="1:9" ht="26" x14ac:dyDescent="0.35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G17" s="6" t="str">
        <f t="shared" si="0"/>
        <v>21</v>
      </c>
      <c r="H17" s="6" t="str">
        <f t="shared" si="1"/>
        <v>CA</v>
      </c>
      <c r="I17" s="6" t="str">
        <f t="shared" si="2"/>
        <v>AUG-CA</v>
      </c>
    </row>
    <row r="18" spans="1:9" ht="26" x14ac:dyDescent="0.35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G18" s="6" t="str">
        <f t="shared" si="0"/>
        <v>20</v>
      </c>
      <c r="H18" s="6" t="str">
        <f t="shared" si="1"/>
        <v>CN</v>
      </c>
      <c r="I18" s="6" t="str">
        <f t="shared" si="2"/>
        <v>AUG-CN</v>
      </c>
    </row>
    <row r="19" spans="1:9" ht="26" x14ac:dyDescent="0.35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G19" s="6" t="str">
        <f t="shared" si="0"/>
        <v>27</v>
      </c>
      <c r="H19" s="6" t="str">
        <f t="shared" si="1"/>
        <v>IT</v>
      </c>
      <c r="I19" s="6" t="str">
        <f t="shared" si="2"/>
        <v>JAN-IT</v>
      </c>
    </row>
    <row r="20" spans="1:9" ht="26" x14ac:dyDescent="0.35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G20" s="6" t="str">
        <f t="shared" si="0"/>
        <v>01</v>
      </c>
      <c r="H20" s="6" t="str">
        <f t="shared" si="1"/>
        <v>UK</v>
      </c>
      <c r="I20" s="6" t="str">
        <f t="shared" si="2"/>
        <v>MAR-UK</v>
      </c>
    </row>
    <row r="21" spans="1:9" ht="26" x14ac:dyDescent="0.35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G21" s="6" t="str">
        <f t="shared" si="0"/>
        <v>14</v>
      </c>
      <c r="H21" s="6" t="str">
        <f t="shared" si="1"/>
        <v>US</v>
      </c>
      <c r="I21" s="6" t="str">
        <f t="shared" si="2"/>
        <v>AUG-US</v>
      </c>
    </row>
    <row r="22" spans="1:9" ht="26" x14ac:dyDescent="0.35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G22" s="6" t="str">
        <f t="shared" si="0"/>
        <v>14</v>
      </c>
      <c r="H22" s="6" t="str">
        <f t="shared" si="1"/>
        <v>RU</v>
      </c>
      <c r="I22" s="6" t="str">
        <f t="shared" si="2"/>
        <v>MAY-RU</v>
      </c>
    </row>
    <row r="23" spans="1:9" ht="26" x14ac:dyDescent="0.35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G23" s="6" t="str">
        <f t="shared" si="0"/>
        <v>09</v>
      </c>
      <c r="H23" s="6" t="str">
        <f t="shared" si="1"/>
        <v>CA</v>
      </c>
      <c r="I23" s="6" t="str">
        <f t="shared" si="2"/>
        <v>JAN-CA</v>
      </c>
    </row>
    <row r="24" spans="1:9" ht="26" x14ac:dyDescent="0.35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G24" s="6" t="str">
        <f t="shared" si="0"/>
        <v>19</v>
      </c>
      <c r="H24" s="6" t="str">
        <f t="shared" si="1"/>
        <v>BR</v>
      </c>
      <c r="I24" s="6" t="str">
        <f t="shared" si="2"/>
        <v>JUL-BR</v>
      </c>
    </row>
    <row r="25" spans="1:9" ht="26" x14ac:dyDescent="0.35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G25" s="6" t="str">
        <f t="shared" si="0"/>
        <v>21</v>
      </c>
      <c r="H25" s="6" t="str">
        <f t="shared" si="1"/>
        <v>CA</v>
      </c>
      <c r="I25" s="6" t="str">
        <f t="shared" si="2"/>
        <v>AUG-CA</v>
      </c>
    </row>
    <row r="26" spans="1:9" ht="26" x14ac:dyDescent="0.35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G26" s="6" t="str">
        <f t="shared" si="0"/>
        <v>29</v>
      </c>
      <c r="H26" s="6" t="str">
        <f t="shared" si="1"/>
        <v>CA</v>
      </c>
      <c r="I26" s="6" t="str">
        <f t="shared" si="2"/>
        <v>SEP-CA</v>
      </c>
    </row>
    <row r="27" spans="1:9" ht="26" x14ac:dyDescent="0.35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G27" s="6" t="str">
        <f t="shared" si="0"/>
        <v>03</v>
      </c>
      <c r="H27" s="6" t="str">
        <f t="shared" si="1"/>
        <v>CA</v>
      </c>
      <c r="I27" s="6" t="str">
        <f t="shared" si="2"/>
        <v>JUN-CA</v>
      </c>
    </row>
    <row r="28" spans="1:9" ht="26" x14ac:dyDescent="0.35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G28" s="6" t="str">
        <f t="shared" si="0"/>
        <v>11</v>
      </c>
      <c r="H28" s="6" t="str">
        <f t="shared" si="1"/>
        <v>CA</v>
      </c>
      <c r="I28" s="6" t="str">
        <f t="shared" si="2"/>
        <v>JUL-CA</v>
      </c>
    </row>
    <row r="29" spans="1:9" ht="26" x14ac:dyDescent="0.35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G29" s="6" t="str">
        <f t="shared" si="0"/>
        <v>16</v>
      </c>
      <c r="H29" s="6" t="str">
        <f t="shared" si="1"/>
        <v>ES</v>
      </c>
      <c r="I29" s="6" t="str">
        <f t="shared" si="2"/>
        <v>APR-ES</v>
      </c>
    </row>
    <row r="30" spans="1:9" ht="26" x14ac:dyDescent="0.35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G30" s="6" t="str">
        <f t="shared" si="0"/>
        <v>07</v>
      </c>
      <c r="H30" s="6" t="str">
        <f t="shared" si="1"/>
        <v>CA</v>
      </c>
      <c r="I30" s="6" t="str">
        <f t="shared" si="2"/>
        <v>MAR-CA</v>
      </c>
    </row>
    <row r="31" spans="1:9" ht="26" x14ac:dyDescent="0.35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G31" s="6" t="str">
        <f t="shared" si="0"/>
        <v>13</v>
      </c>
      <c r="H31" s="6" t="str">
        <f t="shared" si="1"/>
        <v>CA</v>
      </c>
      <c r="I31" s="6" t="str">
        <f t="shared" si="2"/>
        <v>APR-CA</v>
      </c>
    </row>
    <row r="32" spans="1:9" ht="26" x14ac:dyDescent="0.35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G32" s="6" t="str">
        <f t="shared" si="0"/>
        <v>24</v>
      </c>
      <c r="H32" s="6" t="str">
        <f t="shared" si="1"/>
        <v>CA</v>
      </c>
      <c r="I32" s="6" t="str">
        <f t="shared" si="2"/>
        <v>MAY-CA</v>
      </c>
    </row>
    <row r="33" spans="1:9" ht="26" x14ac:dyDescent="0.35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G33" s="6" t="str">
        <f t="shared" si="0"/>
        <v>02</v>
      </c>
      <c r="H33" s="6" t="str">
        <f t="shared" si="1"/>
        <v>CA</v>
      </c>
      <c r="I33" s="6" t="str">
        <f t="shared" si="2"/>
        <v>DEC-CA</v>
      </c>
    </row>
    <row r="34" spans="1:9" ht="26" x14ac:dyDescent="0.35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G34" s="6" t="str">
        <f t="shared" si="0"/>
        <v>17</v>
      </c>
      <c r="H34" s="6" t="str">
        <f t="shared" si="1"/>
        <v>IN</v>
      </c>
      <c r="I34" s="6" t="str">
        <f t="shared" si="2"/>
        <v>JUN-IN</v>
      </c>
    </row>
    <row r="35" spans="1:9" ht="26" x14ac:dyDescent="0.35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  <c r="G35" s="6" t="str">
        <f t="shared" si="0"/>
        <v>09</v>
      </c>
      <c r="H35" s="6" t="str">
        <f t="shared" si="1"/>
        <v>FR</v>
      </c>
      <c r="I35" s="6" t="str">
        <f t="shared" si="2"/>
        <v>JUL-FR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Day Country &amp;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 KRISHNADAS</dc:creator>
  <cp:lastModifiedBy>JYOTHI KRISHNADAS</cp:lastModifiedBy>
  <dcterms:created xsi:type="dcterms:W3CDTF">2026-09-11T15:21:00Z</dcterms:created>
  <dcterms:modified xsi:type="dcterms:W3CDTF">2026-09-15T18:09:11Z</dcterms:modified>
</cp:coreProperties>
</file>